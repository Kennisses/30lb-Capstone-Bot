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vseaa\Documents\GitHub\30lb-Capstone-Bot\"/>
    </mc:Choice>
  </mc:AlternateContent>
  <xr:revisionPtr revIDLastSave="0" documentId="13_ncr:1_{FD8581E0-616B-4298-9B63-3A8A9659A7BD}" xr6:coauthVersionLast="47" xr6:coauthVersionMax="47" xr10:uidLastSave="{00000000-0000-0000-0000-000000000000}"/>
  <bookViews>
    <workbookView xWindow="-108" yWindow="-108" windowWidth="23256" windowHeight="13896" xr2:uid="{2E6AAB31-3DD4-45E3-978E-4A2557BFC82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E32" i="1"/>
  <c r="I11" i="1"/>
  <c r="I12" i="1"/>
  <c r="I3" i="1"/>
  <c r="I4" i="1"/>
  <c r="I5" i="1"/>
  <c r="I6" i="1"/>
  <c r="I7" i="1"/>
  <c r="I8" i="1"/>
  <c r="I9" i="1"/>
  <c r="I10" i="1"/>
  <c r="I2" i="1"/>
</calcChain>
</file>

<file path=xl/sharedStrings.xml><?xml version="1.0" encoding="utf-8"?>
<sst xmlns="http://schemas.openxmlformats.org/spreadsheetml/2006/main" count="99" uniqueCount="65">
  <si>
    <t>Link</t>
  </si>
  <si>
    <t>Part Name</t>
  </si>
  <si>
    <t>Price Ea</t>
  </si>
  <si>
    <t>Weight Ea (g)</t>
  </si>
  <si>
    <t>Total Weight</t>
  </si>
  <si>
    <t>Total Price</t>
  </si>
  <si>
    <t>Spares</t>
  </si>
  <si>
    <t>Vendor</t>
  </si>
  <si>
    <t>Subsystem</t>
  </si>
  <si>
    <t>Frame</t>
  </si>
  <si>
    <t>Notes</t>
  </si>
  <si>
    <t>QTY On Bot</t>
  </si>
  <si>
    <t>QTY Total</t>
  </si>
  <si>
    <t>Left Drive Rail</t>
  </si>
  <si>
    <t>Right Drive Rail</t>
  </si>
  <si>
    <t>Left Front wall</t>
  </si>
  <si>
    <t>Right Front Wall</t>
  </si>
  <si>
    <t>Left Upright</t>
  </si>
  <si>
    <t>Right Upright</t>
  </si>
  <si>
    <t>Backplate</t>
  </si>
  <si>
    <t>Side Guard Front Mount</t>
  </si>
  <si>
    <t>Side Guard Back Mount</t>
  </si>
  <si>
    <t>Carbon Bottom Plate</t>
  </si>
  <si>
    <t>1/4" Aluminum</t>
  </si>
  <si>
    <t>SEP</t>
  </si>
  <si>
    <t>Ask tom, BIC Worker works for this company and can get good deal</t>
  </si>
  <si>
    <t>Weapon</t>
  </si>
  <si>
    <t>14mm AR600 Weapon</t>
  </si>
  <si>
    <t>1/2" AR500 Weapon</t>
  </si>
  <si>
    <t>Weapon Hub</t>
  </si>
  <si>
    <t>Weapon Shaft</t>
  </si>
  <si>
    <t>Needle Roller Bearings</t>
  </si>
  <si>
    <t>Weapon Bolts</t>
  </si>
  <si>
    <t>Orange Side Plates</t>
  </si>
  <si>
    <t>Drive</t>
  </si>
  <si>
    <t>Front Wheels</t>
  </si>
  <si>
    <t>Rear Wheels</t>
  </si>
  <si>
    <t>Electronics</t>
  </si>
  <si>
    <t>Main Power Switch</t>
  </si>
  <si>
    <t>Reciever Power Switch</t>
  </si>
  <si>
    <t>Drive Motor</t>
  </si>
  <si>
    <t>Weapon Motor</t>
  </si>
  <si>
    <t>Weapon ESC</t>
  </si>
  <si>
    <t>Drive ESC</t>
  </si>
  <si>
    <t>Castle 1515</t>
  </si>
  <si>
    <t>ER4</t>
  </si>
  <si>
    <t>Reciever</t>
  </si>
  <si>
    <t>Weapon Belt</t>
  </si>
  <si>
    <t>Drive Axel</t>
  </si>
  <si>
    <t>Bushing</t>
  </si>
  <si>
    <t>Main Battery</t>
  </si>
  <si>
    <t>Reciever Battery</t>
  </si>
  <si>
    <t>3s 380</t>
  </si>
  <si>
    <t>https://www.gaoneng.shop/products/gaoneng-gnb-6s-22.2v-1850mah-100c-xt60-lipo-battery</t>
  </si>
  <si>
    <t>6s 1850</t>
  </si>
  <si>
    <t>Drive Belt Short</t>
  </si>
  <si>
    <t>Drive Belt Long</t>
  </si>
  <si>
    <t>GNB</t>
  </si>
  <si>
    <t>Radiomaster</t>
  </si>
  <si>
    <t>Drive Pulley</t>
  </si>
  <si>
    <t>Aliexpress</t>
  </si>
  <si>
    <t>190-5m-09</t>
  </si>
  <si>
    <t>140J6 - D&amp;D Dura-Prime Multi-Ribbed Poly V-Belt – Compressor Components</t>
  </si>
  <si>
    <t>140J6 (135 might be better)</t>
  </si>
  <si>
    <t>Castle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</si>
</sst>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$-409]* #,##0.00_);_([$$-409]* \(#,##0.00\);_([$$-409]* &quot;-&quot;??_);_(@_)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44" fontId="0" fillId="0" borderId="0" xfId="0" applyNumberFormat="1" applyAlignment="1">
      <alignment horizontal="right"/>
    </xf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2">
    <dxf>
      <numFmt numFmtId="34" formatCode="_(&quot;$&quot;* #,##0.00_);_(&quot;$&quot;* \(#,##0.00\);_(&quot;$&quot;* &quot;-&quot;??_);_(@_)"/>
      <alignment horizontal="right" vertical="bottom" textRotation="0" wrapText="0" indent="0" justifyLastLine="0" shrinkToFit="0" readingOrder="0"/>
    </dxf>
    <dxf>
      <numFmt numFmtId="164" formatCode="_([$$-409]* #,##0.00_);_([$$-409]* \(#,##0.00\);_([$$-409]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4A082E-55D1-4EBF-B523-76D8593A9EB4}" name="Table1" displayName="Table1" ref="A1:L44" totalsRowShown="0">
  <autoFilter ref="A1:L44" xr:uid="{1D4A082E-55D1-4EBF-B523-76D8593A9EB4}"/>
  <tableColumns count="12">
    <tableColumn id="1" xr3:uid="{9A262696-EEC3-4668-A729-7A8CB9247DE8}" name="Subsystem"/>
    <tableColumn id="2" xr3:uid="{A07EEDA7-C62D-492B-B58F-8BE45C7992A3}" name="Part Name"/>
    <tableColumn id="3" xr3:uid="{A3F7DCD5-94A1-4DDC-AA27-ABC0BB550BBB}" name="QTY On Bot"/>
    <tableColumn id="4" xr3:uid="{6AD45A61-2FF8-4084-BC63-4CA9BB3BDBD4}" name="QTY Total"/>
    <tableColumn id="5" xr3:uid="{F3A4A91A-ED98-4CA1-971F-C5E7322827C2}" name="Price Ea" dataDxfId="1"/>
    <tableColumn id="8" xr3:uid="{FD1D1108-8666-4A41-BD5E-8AC05CD11FE1}" name="Total Price" dataDxfId="0">
      <calculatedColumnFormula>Table1[[#This Row],[Price Ea]]*Table1[[#This Row],[QTY On Bot]]</calculatedColumnFormula>
    </tableColumn>
    <tableColumn id="6" xr3:uid="{1115EAA2-9AC2-4559-83D1-31362E934CE2}" name="Weight Ea (g)"/>
    <tableColumn id="7" xr3:uid="{A3AC107C-939B-43EB-92F3-D26CBDECBF37}" name="Total Weight"/>
    <tableColumn id="9" xr3:uid="{91B3CB33-B4C3-4924-83EE-4AEB55C7E3D9}" name="Spares"/>
    <tableColumn id="10" xr3:uid="{048AA429-428F-4451-B59C-BE85FE3D1B4C}" name="Vendor"/>
    <tableColumn id="11" xr3:uid="{591599D4-26FA-4EE7-BD4D-2336868535F2}" name="Notes"/>
    <tableColumn id="12" xr3:uid="{16DBD91C-00EE-490D-B493-27283CF1FA90}" name="Lin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ompressorcomponents.com/products/140j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F98A2-994E-4BEF-902F-AF30D0FF4095}">
  <dimension ref="A1:L44"/>
  <sheetViews>
    <sheetView tabSelected="1" zoomScale="69" workbookViewId="0">
      <selection activeCell="J29" sqref="J29"/>
    </sheetView>
  </sheetViews>
  <sheetFormatPr defaultRowHeight="14.4" x14ac:dyDescent="0.3"/>
  <cols>
    <col min="1" max="1" width="11.6640625" customWidth="1"/>
    <col min="2" max="2" width="19.88671875" bestFit="1" customWidth="1"/>
    <col min="3" max="3" width="13.33203125" bestFit="1" customWidth="1"/>
    <col min="4" max="4" width="11.77734375" bestFit="1" customWidth="1"/>
    <col min="5" max="5" width="9.33203125" style="1" customWidth="1"/>
    <col min="6" max="6" width="13.21875" style="1" customWidth="1"/>
    <col min="7" max="7" width="12.6640625" customWidth="1"/>
    <col min="8" max="8" width="11.21875" customWidth="1"/>
    <col min="10" max="10" width="11.5546875" bestFit="1" customWidth="1"/>
    <col min="11" max="11" width="23.109375" customWidth="1"/>
    <col min="12" max="12" width="47" customWidth="1"/>
  </cols>
  <sheetData>
    <row r="1" spans="1:12" x14ac:dyDescent="0.3">
      <c r="A1" t="s">
        <v>8</v>
      </c>
      <c r="B1" t="s">
        <v>1</v>
      </c>
      <c r="C1" t="s">
        <v>11</v>
      </c>
      <c r="D1" t="s">
        <v>12</v>
      </c>
      <c r="E1" s="1" t="s">
        <v>2</v>
      </c>
      <c r="F1" s="1" t="s">
        <v>5</v>
      </c>
      <c r="G1" t="s">
        <v>3</v>
      </c>
      <c r="H1" t="s">
        <v>4</v>
      </c>
      <c r="I1" t="s">
        <v>6</v>
      </c>
      <c r="J1" t="s">
        <v>7</v>
      </c>
      <c r="K1" t="s">
        <v>10</v>
      </c>
      <c r="L1" t="s">
        <v>0</v>
      </c>
    </row>
    <row r="2" spans="1:12" x14ac:dyDescent="0.3">
      <c r="A2" t="s">
        <v>9</v>
      </c>
      <c r="B2" t="s">
        <v>23</v>
      </c>
      <c r="C2">
        <v>1</v>
      </c>
      <c r="D2">
        <v>1</v>
      </c>
      <c r="F2" s="2">
        <f>Table1[[#This Row],[Price Ea]]*Table1[[#This Row],[QTY On Bot]]</f>
        <v>0</v>
      </c>
      <c r="I2">
        <f>D2-C2</f>
        <v>0</v>
      </c>
      <c r="J2" t="s">
        <v>24</v>
      </c>
      <c r="K2" t="s">
        <v>25</v>
      </c>
    </row>
    <row r="3" spans="1:12" x14ac:dyDescent="0.3">
      <c r="A3" t="s">
        <v>9</v>
      </c>
      <c r="B3" t="s">
        <v>13</v>
      </c>
      <c r="C3">
        <v>1</v>
      </c>
      <c r="D3">
        <v>2</v>
      </c>
      <c r="F3" s="2">
        <f>Table1[[#This Row],[Price Ea]]*Table1[[#This Row],[QTY On Bot]]</f>
        <v>0</v>
      </c>
      <c r="I3">
        <f t="shared" ref="I3:I10" si="0">D3-C3</f>
        <v>1</v>
      </c>
    </row>
    <row r="4" spans="1:12" x14ac:dyDescent="0.3">
      <c r="A4" t="s">
        <v>9</v>
      </c>
      <c r="B4" t="s">
        <v>14</v>
      </c>
      <c r="C4">
        <v>1</v>
      </c>
      <c r="D4">
        <v>2</v>
      </c>
      <c r="F4" s="2">
        <f>Table1[[#This Row],[Price Ea]]*Table1[[#This Row],[QTY On Bot]]</f>
        <v>0</v>
      </c>
      <c r="I4">
        <f t="shared" si="0"/>
        <v>1</v>
      </c>
    </row>
    <row r="5" spans="1:12" x14ac:dyDescent="0.3">
      <c r="A5" t="s">
        <v>9</v>
      </c>
      <c r="B5" t="s">
        <v>15</v>
      </c>
      <c r="C5">
        <v>1</v>
      </c>
      <c r="D5">
        <v>2</v>
      </c>
      <c r="F5" s="2">
        <f>Table1[[#This Row],[Price Ea]]*Table1[[#This Row],[QTY On Bot]]</f>
        <v>0</v>
      </c>
      <c r="I5">
        <f t="shared" si="0"/>
        <v>1</v>
      </c>
    </row>
    <row r="6" spans="1:12" x14ac:dyDescent="0.3">
      <c r="A6" t="s">
        <v>9</v>
      </c>
      <c r="B6" t="s">
        <v>16</v>
      </c>
      <c r="C6">
        <v>1</v>
      </c>
      <c r="D6">
        <v>2</v>
      </c>
      <c r="F6" s="2">
        <f>Table1[[#This Row],[Price Ea]]*Table1[[#This Row],[QTY On Bot]]</f>
        <v>0</v>
      </c>
      <c r="I6">
        <f t="shared" si="0"/>
        <v>1</v>
      </c>
    </row>
    <row r="7" spans="1:12" x14ac:dyDescent="0.3">
      <c r="A7" t="s">
        <v>9</v>
      </c>
      <c r="B7" t="s">
        <v>17</v>
      </c>
      <c r="C7">
        <v>1</v>
      </c>
      <c r="D7">
        <v>2</v>
      </c>
      <c r="F7" s="2">
        <f>Table1[[#This Row],[Price Ea]]*Table1[[#This Row],[QTY On Bot]]</f>
        <v>0</v>
      </c>
      <c r="I7">
        <f t="shared" si="0"/>
        <v>1</v>
      </c>
    </row>
    <row r="8" spans="1:12" x14ac:dyDescent="0.3">
      <c r="A8" t="s">
        <v>9</v>
      </c>
      <c r="B8" t="s">
        <v>18</v>
      </c>
      <c r="C8">
        <v>1</v>
      </c>
      <c r="D8">
        <v>2</v>
      </c>
      <c r="F8" s="2">
        <f>Table1[[#This Row],[Price Ea]]*Table1[[#This Row],[QTY On Bot]]</f>
        <v>0</v>
      </c>
      <c r="I8">
        <f t="shared" si="0"/>
        <v>1</v>
      </c>
    </row>
    <row r="9" spans="1:12" x14ac:dyDescent="0.3">
      <c r="A9" t="s">
        <v>9</v>
      </c>
      <c r="B9" t="s">
        <v>19</v>
      </c>
      <c r="C9">
        <v>1</v>
      </c>
      <c r="D9">
        <v>2</v>
      </c>
      <c r="F9" s="2">
        <f>Table1[[#This Row],[Price Ea]]*Table1[[#This Row],[QTY On Bot]]</f>
        <v>0</v>
      </c>
      <c r="I9">
        <f t="shared" si="0"/>
        <v>1</v>
      </c>
    </row>
    <row r="10" spans="1:12" x14ac:dyDescent="0.3">
      <c r="A10" t="s">
        <v>9</v>
      </c>
      <c r="B10" t="s">
        <v>20</v>
      </c>
      <c r="C10">
        <v>2</v>
      </c>
      <c r="F10" s="2">
        <f>Table1[[#This Row],[Price Ea]]*Table1[[#This Row],[QTY On Bot]]</f>
        <v>0</v>
      </c>
      <c r="I10">
        <f t="shared" si="0"/>
        <v>-2</v>
      </c>
    </row>
    <row r="11" spans="1:12" x14ac:dyDescent="0.3">
      <c r="A11" t="s">
        <v>9</v>
      </c>
      <c r="B11" t="s">
        <v>21</v>
      </c>
      <c r="C11">
        <v>2</v>
      </c>
      <c r="F11" s="2">
        <f>Table1[[#This Row],[Price Ea]]*Table1[[#This Row],[QTY On Bot]]</f>
        <v>0</v>
      </c>
      <c r="I11">
        <f>D11-C11</f>
        <v>-2</v>
      </c>
    </row>
    <row r="12" spans="1:12" x14ac:dyDescent="0.3">
      <c r="A12" t="s">
        <v>9</v>
      </c>
      <c r="B12" t="s">
        <v>22</v>
      </c>
      <c r="C12">
        <v>1</v>
      </c>
      <c r="D12">
        <v>4</v>
      </c>
      <c r="F12" s="2">
        <f>Table1[[#This Row],[Price Ea]]*Table1[[#This Row],[QTY On Bot]]</f>
        <v>0</v>
      </c>
      <c r="I12">
        <f>D12-C12</f>
        <v>3</v>
      </c>
    </row>
    <row r="13" spans="1:12" x14ac:dyDescent="0.3">
      <c r="F13" s="2">
        <f>Table1[[#This Row],[Price Ea]]*Table1[[#This Row],[QTY On Bot]]</f>
        <v>0</v>
      </c>
    </row>
    <row r="14" spans="1:12" x14ac:dyDescent="0.3">
      <c r="F14" s="2">
        <f>Table1[[#This Row],[Price Ea]]*Table1[[#This Row],[QTY On Bot]]</f>
        <v>0</v>
      </c>
    </row>
    <row r="15" spans="1:12" x14ac:dyDescent="0.3">
      <c r="A15" t="s">
        <v>26</v>
      </c>
      <c r="B15" t="s">
        <v>27</v>
      </c>
      <c r="C15">
        <v>1</v>
      </c>
      <c r="D15">
        <v>2</v>
      </c>
      <c r="F15" s="2">
        <f>Table1[[#This Row],[Price Ea]]*Table1[[#This Row],[QTY On Bot]]</f>
        <v>0</v>
      </c>
    </row>
    <row r="16" spans="1:12" x14ac:dyDescent="0.3">
      <c r="A16" t="s">
        <v>26</v>
      </c>
      <c r="B16" t="s">
        <v>28</v>
      </c>
      <c r="C16">
        <v>0</v>
      </c>
      <c r="D16">
        <v>2</v>
      </c>
      <c r="F16" s="2">
        <f>Table1[[#This Row],[Price Ea]]*Table1[[#This Row],[QTY On Bot]]</f>
        <v>0</v>
      </c>
    </row>
    <row r="17" spans="1:12" x14ac:dyDescent="0.3">
      <c r="A17" t="s">
        <v>26</v>
      </c>
      <c r="B17" t="s">
        <v>29</v>
      </c>
      <c r="C17">
        <v>1</v>
      </c>
      <c r="D17">
        <v>2</v>
      </c>
      <c r="F17" s="2">
        <f>Table1[[#This Row],[Price Ea]]*Table1[[#This Row],[QTY On Bot]]</f>
        <v>0</v>
      </c>
    </row>
    <row r="18" spans="1:12" x14ac:dyDescent="0.3">
      <c r="A18" t="s">
        <v>26</v>
      </c>
      <c r="B18" t="s">
        <v>30</v>
      </c>
      <c r="F18" s="2">
        <f>Table1[[#This Row],[Price Ea]]*Table1[[#This Row],[QTY On Bot]]</f>
        <v>0</v>
      </c>
    </row>
    <row r="19" spans="1:12" x14ac:dyDescent="0.3">
      <c r="A19" t="s">
        <v>26</v>
      </c>
      <c r="B19" t="s">
        <v>31</v>
      </c>
      <c r="F19" s="2">
        <f>Table1[[#This Row],[Price Ea]]*Table1[[#This Row],[QTY On Bot]]</f>
        <v>0</v>
      </c>
    </row>
    <row r="20" spans="1:12" x14ac:dyDescent="0.3">
      <c r="A20" t="s">
        <v>26</v>
      </c>
      <c r="B20" t="s">
        <v>32</v>
      </c>
      <c r="F20" s="2">
        <f>Table1[[#This Row],[Price Ea]]*Table1[[#This Row],[QTY On Bot]]</f>
        <v>0</v>
      </c>
    </row>
    <row r="21" spans="1:12" x14ac:dyDescent="0.3">
      <c r="A21" t="s">
        <v>26</v>
      </c>
      <c r="B21" t="s">
        <v>33</v>
      </c>
      <c r="F21" s="2">
        <f>Table1[[#This Row],[Price Ea]]*Table1[[#This Row],[QTY On Bot]]</f>
        <v>0</v>
      </c>
    </row>
    <row r="22" spans="1:12" x14ac:dyDescent="0.3">
      <c r="A22" t="s">
        <v>26</v>
      </c>
      <c r="B22" t="s">
        <v>47</v>
      </c>
      <c r="F22" s="2">
        <f>Table1[[#This Row],[Price Ea]]*Table1[[#This Row],[QTY On Bot]]</f>
        <v>0</v>
      </c>
      <c r="K22" t="s">
        <v>63</v>
      </c>
      <c r="L22" s="4" t="s">
        <v>62</v>
      </c>
    </row>
    <row r="23" spans="1:12" x14ac:dyDescent="0.3">
      <c r="F23" s="2">
        <f>Table1[[#This Row],[Price Ea]]*Table1[[#This Row],[QTY On Bot]]</f>
        <v>0</v>
      </c>
    </row>
    <row r="24" spans="1:12" x14ac:dyDescent="0.3">
      <c r="F24" s="2">
        <f>Table1[[#This Row],[Price Ea]]*Table1[[#This Row],[QTY On Bot]]</f>
        <v>0</v>
      </c>
    </row>
    <row r="25" spans="1:12" x14ac:dyDescent="0.3">
      <c r="A25" t="s">
        <v>37</v>
      </c>
      <c r="B25" t="s">
        <v>38</v>
      </c>
      <c r="C25">
        <v>1</v>
      </c>
      <c r="F25" s="2">
        <f>Table1[[#This Row],[Price Ea]]*Table1[[#This Row],[QTY On Bot]]</f>
        <v>0</v>
      </c>
    </row>
    <row r="26" spans="1:12" x14ac:dyDescent="0.3">
      <c r="A26" t="s">
        <v>37</v>
      </c>
      <c r="B26" t="s">
        <v>39</v>
      </c>
      <c r="C26">
        <v>1</v>
      </c>
      <c r="F26" s="2">
        <f>Table1[[#This Row],[Price Ea]]*Table1[[#This Row],[QTY On Bot]]</f>
        <v>0</v>
      </c>
    </row>
    <row r="27" spans="1:12" x14ac:dyDescent="0.3">
      <c r="A27" t="s">
        <v>37</v>
      </c>
      <c r="B27" t="s">
        <v>40</v>
      </c>
      <c r="C27">
        <v>2</v>
      </c>
      <c r="F27" s="2">
        <f>Table1[[#This Row],[Price Ea]]*Table1[[#This Row],[QTY On Bot]]</f>
        <v>0</v>
      </c>
    </row>
    <row r="28" spans="1:12" x14ac:dyDescent="0.3">
      <c r="A28" t="s">
        <v>37</v>
      </c>
      <c r="B28" t="s">
        <v>41</v>
      </c>
      <c r="C28">
        <v>1</v>
      </c>
      <c r="E28" s="1">
        <v>200</v>
      </c>
      <c r="F28" s="2">
        <f>Table1[[#This Row],[Price Ea]]*Table1[[#This Row],[QTY On Bot]]</f>
        <v>200</v>
      </c>
      <c r="J28" t="s">
        <v>64</v>
      </c>
      <c r="K28" t="s">
        <v>44</v>
      </c>
    </row>
    <row r="29" spans="1:12" x14ac:dyDescent="0.3">
      <c r="A29" t="s">
        <v>37</v>
      </c>
      <c r="B29" t="s">
        <v>42</v>
      </c>
      <c r="C29">
        <v>1</v>
      </c>
      <c r="F29" s="2">
        <f>Table1[[#This Row],[Price Ea]]*Table1[[#This Row],[QTY On Bot]]</f>
        <v>0</v>
      </c>
    </row>
    <row r="30" spans="1:12" x14ac:dyDescent="0.3">
      <c r="A30" t="s">
        <v>37</v>
      </c>
      <c r="B30" t="s">
        <v>43</v>
      </c>
      <c r="C30">
        <v>2</v>
      </c>
      <c r="F30" s="2">
        <f>Table1[[#This Row],[Price Ea]]*Table1[[#This Row],[QTY On Bot]]</f>
        <v>0</v>
      </c>
    </row>
    <row r="31" spans="1:12" x14ac:dyDescent="0.3">
      <c r="A31" t="s">
        <v>37</v>
      </c>
      <c r="B31" t="s">
        <v>46</v>
      </c>
      <c r="C31">
        <v>2</v>
      </c>
      <c r="F31" s="2">
        <f>Table1[[#This Row],[Price Ea]]*Table1[[#This Row],[QTY On Bot]]</f>
        <v>0</v>
      </c>
      <c r="J31" t="s">
        <v>58</v>
      </c>
      <c r="K31" t="s">
        <v>45</v>
      </c>
    </row>
    <row r="32" spans="1:12" x14ac:dyDescent="0.3">
      <c r="A32" t="s">
        <v>37</v>
      </c>
      <c r="B32" t="s">
        <v>50</v>
      </c>
      <c r="C32">
        <v>2</v>
      </c>
      <c r="E32" s="1">
        <f>84/2</f>
        <v>42</v>
      </c>
      <c r="F32" s="2">
        <f>Table1[[#This Row],[Price Ea]]*Table1[[#This Row],[QTY On Bot]]</f>
        <v>84</v>
      </c>
      <c r="J32" t="s">
        <v>57</v>
      </c>
      <c r="K32" t="s">
        <v>54</v>
      </c>
      <c r="L32" t="s">
        <v>53</v>
      </c>
    </row>
    <row r="33" spans="1:11" x14ac:dyDescent="0.3">
      <c r="A33" t="s">
        <v>37</v>
      </c>
      <c r="B33" t="s">
        <v>51</v>
      </c>
      <c r="C33">
        <v>1</v>
      </c>
      <c r="E33" s="1">
        <v>9</v>
      </c>
      <c r="F33" s="2">
        <f>Table1[[#This Row],[Price Ea]]*Table1[[#This Row],[QTY On Bot]]</f>
        <v>9</v>
      </c>
      <c r="J33" t="s">
        <v>57</v>
      </c>
      <c r="K33" t="s">
        <v>52</v>
      </c>
    </row>
    <row r="34" spans="1:11" x14ac:dyDescent="0.3">
      <c r="A34" t="s">
        <v>37</v>
      </c>
      <c r="F34" s="2">
        <f>Table1[[#This Row],[Price Ea]]*Table1[[#This Row],[QTY On Bot]]</f>
        <v>0</v>
      </c>
    </row>
    <row r="35" spans="1:11" x14ac:dyDescent="0.3">
      <c r="F35" s="2">
        <f>Table1[[#This Row],[Price Ea]]*Table1[[#This Row],[QTY On Bot]]</f>
        <v>0</v>
      </c>
    </row>
    <row r="36" spans="1:11" x14ac:dyDescent="0.3">
      <c r="A36" t="s">
        <v>34</v>
      </c>
      <c r="B36" t="s">
        <v>35</v>
      </c>
      <c r="C36">
        <v>2</v>
      </c>
      <c r="F36" s="2">
        <f>Table1[[#This Row],[Price Ea]]*Table1[[#This Row],[QTY On Bot]]</f>
        <v>0</v>
      </c>
    </row>
    <row r="37" spans="1:11" x14ac:dyDescent="0.3">
      <c r="A37" t="s">
        <v>34</v>
      </c>
      <c r="B37" t="s">
        <v>36</v>
      </c>
      <c r="C37">
        <v>2</v>
      </c>
      <c r="F37" s="2">
        <f>Table1[[#This Row],[Price Ea]]*Table1[[#This Row],[QTY On Bot]]</f>
        <v>0</v>
      </c>
    </row>
    <row r="38" spans="1:11" x14ac:dyDescent="0.3">
      <c r="A38" t="s">
        <v>34</v>
      </c>
      <c r="B38" t="s">
        <v>55</v>
      </c>
      <c r="C38">
        <v>2</v>
      </c>
      <c r="F38" s="2">
        <f>Table1[[#This Row],[Price Ea]]*Table1[[#This Row],[QTY On Bot]]</f>
        <v>0</v>
      </c>
      <c r="K38" s="3" t="s">
        <v>61</v>
      </c>
    </row>
    <row r="39" spans="1:11" x14ac:dyDescent="0.3">
      <c r="A39" t="s">
        <v>34</v>
      </c>
      <c r="B39" t="s">
        <v>56</v>
      </c>
      <c r="C39">
        <v>2</v>
      </c>
      <c r="F39" s="2">
        <f>Table1[[#This Row],[Price Ea]]*Table1[[#This Row],[QTY On Bot]]</f>
        <v>0</v>
      </c>
    </row>
    <row r="40" spans="1:11" x14ac:dyDescent="0.3">
      <c r="A40" t="s">
        <v>34</v>
      </c>
      <c r="B40" t="s">
        <v>59</v>
      </c>
      <c r="F40" s="2">
        <f>Table1[[#This Row],[Price Ea]]*Table1[[#This Row],[QTY On Bot]]</f>
        <v>0</v>
      </c>
      <c r="J40" t="s">
        <v>60</v>
      </c>
    </row>
    <row r="41" spans="1:11" x14ac:dyDescent="0.3">
      <c r="A41" t="s">
        <v>34</v>
      </c>
      <c r="F41" s="2">
        <f>Table1[[#This Row],[Price Ea]]*Table1[[#This Row],[QTY On Bot]]</f>
        <v>0</v>
      </c>
    </row>
    <row r="42" spans="1:11" x14ac:dyDescent="0.3">
      <c r="A42" t="s">
        <v>34</v>
      </c>
      <c r="B42" t="s">
        <v>48</v>
      </c>
      <c r="C42">
        <v>4</v>
      </c>
      <c r="F42" s="2">
        <f>Table1[[#This Row],[Price Ea]]*Table1[[#This Row],[QTY On Bot]]</f>
        <v>0</v>
      </c>
    </row>
    <row r="43" spans="1:11" x14ac:dyDescent="0.3">
      <c r="A43" t="s">
        <v>34</v>
      </c>
      <c r="B43" t="s">
        <v>49</v>
      </c>
      <c r="C43">
        <v>4</v>
      </c>
      <c r="F43" s="2">
        <f>Table1[[#This Row],[Price Ea]]*Table1[[#This Row],[QTY On Bot]]</f>
        <v>0</v>
      </c>
    </row>
    <row r="44" spans="1:11" x14ac:dyDescent="0.3">
      <c r="F44" s="2">
        <f>Table1[[#This Row],[Price Ea]]*Table1[[#This Row],[QTY On Bot]]</f>
        <v>0</v>
      </c>
    </row>
  </sheetData>
  <hyperlinks>
    <hyperlink ref="L22" r:id="rId1" display="https://compressorcomponents.com/products/140j6" xr:uid="{C4317AF8-7E9E-431E-95E2-CAA348CFB00A}"/>
  </hyperlinks>
  <pageMargins left="0.7" right="0.7" top="0.75" bottom="0.75" header="0.3" footer="0.3"/>
  <pageSetup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Povse, Aiden</dc:creator>
  <cp:lastModifiedBy>Povse, Aiden</cp:lastModifiedBy>
  <dcterms:created xsi:type="dcterms:W3CDTF">2025-12-14T20:57:39Z</dcterms:created>
  <dcterms:modified xsi:type="dcterms:W3CDTF">2026-03-12T03:22:46Z</dcterms:modified>
</cp:coreProperties>
</file>